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iguel-PC\Desktop\"/>
    </mc:Choice>
  </mc:AlternateContent>
  <xr:revisionPtr revIDLastSave="0" documentId="13_ncr:1_{97C4EF72-A62D-490D-AC37-60C5AB3A74DB}" xr6:coauthVersionLast="47" xr6:coauthVersionMax="47" xr10:uidLastSave="{00000000-0000-0000-0000-000000000000}"/>
  <bookViews>
    <workbookView xWindow="-120" yWindow="-120" windowWidth="29040" windowHeight="15720" xr2:uid="{AF02FBB8-0A87-4B34-9297-94FCF679C14E}"/>
  </bookViews>
  <sheets>
    <sheet name="Matriz de Riesgo" sheetId="6" r:id="rId1"/>
  </sheets>
  <definedNames>
    <definedName name="Accion">'Matriz de Riesgo'!$X$3:$X$6</definedName>
    <definedName name="Numero">'Matriz de Riesgo'!$W$3:$W$7</definedName>
    <definedName name="Tipo">'Matriz de Riesgo'!$V$3:$V$4</definedName>
    <definedName name="Tipos">'Matriz de Riesgo'!$V$3:$V$4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6" l="1"/>
  <c r="H5" i="6" s="1"/>
  <c r="G6" i="6"/>
  <c r="H6" i="6" s="1"/>
  <c r="G7" i="6"/>
  <c r="H7" i="6" s="1"/>
  <c r="G8" i="6"/>
  <c r="H8" i="6"/>
  <c r="G9" i="6"/>
  <c r="H9" i="6" s="1"/>
  <c r="G10" i="6"/>
  <c r="H10" i="6" s="1"/>
  <c r="G11" i="6"/>
  <c r="H11" i="6" s="1"/>
  <c r="G12" i="6"/>
  <c r="H12" i="6" s="1"/>
  <c r="G13" i="6"/>
  <c r="H13" i="6"/>
  <c r="G14" i="6"/>
  <c r="H14" i="6" s="1"/>
  <c r="G15" i="6"/>
  <c r="H15" i="6" s="1"/>
  <c r="G16" i="6"/>
  <c r="H16" i="6" s="1"/>
  <c r="G17" i="6"/>
  <c r="H17" i="6" s="1"/>
  <c r="G18" i="6"/>
  <c r="H18" i="6" s="1"/>
  <c r="G19" i="6"/>
  <c r="H19" i="6" s="1"/>
  <c r="G20" i="6"/>
  <c r="H20" i="6" s="1"/>
  <c r="G21" i="6"/>
  <c r="H21" i="6" s="1"/>
  <c r="G3" i="6"/>
  <c r="H3" i="6" s="1"/>
  <c r="G4" i="6"/>
  <c r="H4" i="6" s="1"/>
</calcChain>
</file>

<file path=xl/sharedStrings.xml><?xml version="1.0" encoding="utf-8"?>
<sst xmlns="http://schemas.openxmlformats.org/spreadsheetml/2006/main" count="116" uniqueCount="58">
  <si>
    <t>N°</t>
  </si>
  <si>
    <t>Descripción</t>
  </si>
  <si>
    <t>Impacto</t>
  </si>
  <si>
    <t>Tipo</t>
  </si>
  <si>
    <t>Probabilidad de ocurrencia</t>
  </si>
  <si>
    <t>Severidad</t>
  </si>
  <si>
    <t>Nivel de riesgo</t>
  </si>
  <si>
    <t>Acción</t>
  </si>
  <si>
    <t>Plan de Acción</t>
  </si>
  <si>
    <t>Producto</t>
  </si>
  <si>
    <t>Ignorar</t>
  </si>
  <si>
    <t>Mitigar</t>
  </si>
  <si>
    <t>Contener</t>
  </si>
  <si>
    <t>Transferir</t>
  </si>
  <si>
    <t>Proyecto</t>
  </si>
  <si>
    <t>Release</t>
  </si>
  <si>
    <t>Numero</t>
  </si>
  <si>
    <t>Matriz de Riesgo</t>
  </si>
  <si>
    <t>Falta de coordinación entre los diferentes equipos que trabajan en el proyecto puede ocasionar retrasos en la entrega del producto, aumentar los costos, y provocar la insatisfacción del cliente.</t>
  </si>
  <si>
    <t>Creación de un plan de proyecto detallado que establezca plazos y responsabilidades claras para cada equipo, la designación de un líder de proyecto para supervisar el progreso y la comunicación regular y efectiva entre los equipos</t>
  </si>
  <si>
    <t>Estado</t>
  </si>
  <si>
    <t xml:space="preserve">Abierto </t>
  </si>
  <si>
    <t>Identificar quiénes son los miembros críticos del equipo y desarrollar un plan de contingencia en caso de que alguno de ellos no esté disponible. Esto podría incluir la asignación de responsabilidades a otros miembros del equipo o la contratación de un recurso temporal.</t>
  </si>
  <si>
    <t>Enfermedad o accidente que requiera incapacidad de alguno de los integrantes del proyecto lo que podría afectar el ritmo del proyecto</t>
  </si>
  <si>
    <t>Falta de un ambiente de pruebas adecuado para el contexto del proyecto teniendo realizar despliegues de manera local, generando dificultades para relizar las pruebas.</t>
  </si>
  <si>
    <t xml:space="preserve">Fallos en la integración con sistemas externos que puedan afectar la funcionalidad de la plataforma. </t>
  </si>
  <si>
    <t>Problemas con la estabilidad de la plataforma que puedan llevar a caídas del sistema y pérdida de información.</t>
  </si>
  <si>
    <t>Problemas de internacionalización que puedan limitar la accesibilidad de la plataforma a usuarios de diferentes regiones y culturas.</t>
  </si>
  <si>
    <t>Problemas de usabilidad en la gestión de usuarios y roles, lo que puede dificultar la administración de la plataforma para los administradores.</t>
  </si>
  <si>
    <t>Falta de documentación y soporte, lo que puede dificultar la resolución de problemas y la capacitación de los usuarios.</t>
  </si>
  <si>
    <t>Incompatibilidad con ciertas plataformas o dispositivos, lo que puede limitar el acceso de los usuarios a la plataforma.</t>
  </si>
  <si>
    <t>Problemas de rendimiento y escalabilidad, lo que puede afectar el uso de la plataforma cuando hay muchos usuarios concurrentes.</t>
  </si>
  <si>
    <t>Funcionalidades clave no implementadas o mal diseñadas, lo que puede afectar la utilidad de la plataforma para los usuarios.</t>
  </si>
  <si>
    <t>Posible caída del servidor que hace que la aplicación se congele</t>
  </si>
  <si>
    <t>Problemas de seguridad que pueden comprometer la privacidad de los usuarios o los datos del sistema.</t>
  </si>
  <si>
    <t>Falta de experiencia en el equipo de trabajo que pueda generar retrasos o malas implementaciones</t>
  </si>
  <si>
    <t>Cambios frecuentes en la composición del equipo de trabajo que pueden llegar a afectar la continuidad y calidad del desarrollo del proyecto.</t>
  </si>
  <si>
    <t>Falta de claridad en los objetivos del proyecto y en las funcionalidades lo que genera defectos a corregir en el futuro, generando sobre costos.</t>
  </si>
  <si>
    <t>Problemas de comunicación entre los miembros del equipo y/o los interesados lo que puede generar malestar en el ambiente del equipo y problemas en las entregas.</t>
  </si>
  <si>
    <t>Cambios en los requisitos por parte del cliente, generando atrasos en las entregas y cronogramas, además de generar sobre costos.</t>
  </si>
  <si>
    <t>Establecer un entorno de pruebas adecuado para el contexto del proyecto, y realizar pruebas exhaustivas antes de la implementación en producción.</t>
  </si>
  <si>
    <t>Establecer un plan de adquisición y configuración de herramientas y recursos con plazos claros y realistas, y tener un equipo de soporte técnico disponible para manejar los problemas de configuración.</t>
  </si>
  <si>
    <t>Mantener una comunicación constante con el cliente para asegurarse de que se estén cumpliendo sus requisitos y para estar al tanto de cualquier cambio en los mismos.</t>
  </si>
  <si>
    <t>Establecer canales de comunicación claros desdel el principio, comunicar regularmente el progreso del proyecto a todos los miembros del equipo y los interesados relevantes.
 Ademas, establecer reuniones regulares de equipo y establecer un proceso claro para la resolución de conflictos</t>
  </si>
  <si>
    <t>Definir los objetivos y funcionalidades con detalle.</t>
  </si>
  <si>
    <t>Roles y responsabilidades claras, integración de equipo, plan de respaldo.</t>
  </si>
  <si>
    <t>Identificar las necesidades de capacitación y desarrollo de cada miembro del equipo, y considerar la contratación de recursos externos o la asignación de un mentor experimentado para apoyar al equipo del proyecto y mejorar su desempeño.</t>
  </si>
  <si>
    <t>Definir políticas de seguridad claras y precisas que sean aplicables a todos los componentes del sistema, incluyendo el acceso, la autenticación, la autorización, el cifrado, la gestión de claves, la auditoría, la gestión de vulnerabilidades y el monitoreo.</t>
  </si>
  <si>
    <t>Evaluar la capacidad de carga del sistema y asegurarse de que el hardware y el software sean suficientemente capaces para manejar la cantidad de tráfico y usuarios que se espera.</t>
  </si>
  <si>
    <t>Establecer un cronograma realista para la implementación de las funcionalidades clave, asegurando que se les dé el tiempo adecuado para un diseño y desarrollo adecuados.</t>
  </si>
  <si>
    <t>Utilizar una arquitectura adecuada, como una arquitectura en capas, para asegurarse de que la plataforma pueda manejar diferentes niveles de tráfico y la cantidad de usuarios concurrentes.</t>
  </si>
  <si>
    <t>Utilizar estándares y tecnologías comunes que sean compatibles con la mayoría de las plataformas y dispositivos, como HTML5 y CSS3.</t>
  </si>
  <si>
    <t>Documentar todo el proceso de desarrollo de la plataforma, incluyendo los requisitos, el diseño, la implementación, las pruebas y la puesta en producción. Asegurarse de que toda la documentación esté actualizada y sea fácilmente accesible.</t>
  </si>
  <si>
    <t>Hacer que el proceso de gestión de usuarios y roles sea fácil de entender para los administradores, utilizando un lenguaje claro y sencillo, y proporcionando herramientas y guías para ayudarles a realizar tareas específicas.</t>
  </si>
  <si>
    <t>Implementar un sistema de localización para que los usuarios puedan personalizar la experiencia de la plataforma de acuerdo a su ubicación geográfica y preferencias culturales.</t>
  </si>
  <si>
    <t>Implementar un sistema de copias de seguridad y recuperación de datos para minimizar la pérdida de información en caso de una caída del sistema.</t>
  </si>
  <si>
    <t>Realizar un análisis detallado de los sistemas externos que se deben integrar con la plataforma y evaluar los posibles riesgos asociados con cada uno.</t>
  </si>
  <si>
    <t>Retrasos en la adquisición o configuración de herramientas y recursos necesarios para el proyecto lo que causa demoras en el ejecución de las pruebas.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</si>
</sst>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3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A5A5A5"/>
        <bgColor rgb="FFA5A5A5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4" tint="0.59999389629810485"/>
        <bgColor rgb="FFDEEAF6"/>
      </patternFill>
    </fill>
    <fill>
      <patternFill patternType="solid">
        <fgColor theme="4" tint="0.59999389629810485"/>
        <bgColor rgb="FFD8D8D8"/>
      </patternFill>
    </fill>
    <fill>
      <patternFill patternType="solid">
        <fgColor rgb="FFB4C6E7"/>
        <bgColor rgb="FFB4C6E7"/>
      </patternFill>
    </fill>
    <fill>
      <patternFill patternType="solid">
        <fgColor rgb="FFD9D9D9"/>
        <bgColor rgb="FFD9D9D9"/>
      </patternFill>
    </fill>
    <fill>
      <patternFill patternType="solid">
        <fgColor theme="0" tint="-0.14999847407452621"/>
        <bgColor rgb="FFDEEAF6"/>
      </patternFill>
    </fill>
    <fill>
      <patternFill patternType="solid">
        <fgColor theme="0" tint="-0.14999847407452621"/>
        <bgColor rgb="FFB4C6E7"/>
      </patternFill>
    </fill>
    <fill>
      <patternFill patternType="solid">
        <fgColor theme="4" tint="0.59999389629810485"/>
        <bgColor rgb="FFD9D9D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3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1" fillId="7" borderId="2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5" fillId="8" borderId="14" xfId="0" applyFont="1" applyFill="1" applyBorder="1" applyAlignment="1">
      <alignment horizontal="center" vertical="center" wrapText="1"/>
    </xf>
    <xf numFmtId="0" fontId="5" fillId="9" borderId="14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vertical="center" wrapText="1"/>
    </xf>
    <xf numFmtId="0" fontId="1" fillId="10" borderId="2" xfId="0" applyFont="1" applyFill="1" applyBorder="1" applyAlignment="1">
      <alignment horizontal="center" vertical="center" wrapText="1"/>
    </xf>
    <xf numFmtId="0" fontId="5" fillId="11" borderId="14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5" fillId="11" borderId="0" xfId="0" applyFont="1" applyFill="1" applyAlignment="1">
      <alignment vertical="center" wrapText="1"/>
    </xf>
    <xf numFmtId="0" fontId="5" fillId="12" borderId="14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1" fillId="11" borderId="14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33"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7"/>
          <bgColor theme="7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7"/>
          <bgColor theme="7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7"/>
          <bgColor theme="7"/>
        </patternFill>
      </fill>
    </dxf>
  </dxfs>
  <tableStyles count="11" defaultTableStyle="TableStyleMedium2" defaultPivotStyle="PivotStyleLight16">
    <tableStyle name="Matriz de Riesgo -style" pivot="0" count="3" xr9:uid="{73AFE189-A624-42E6-BF85-AF9A7630F921}">
      <tableStyleElement type="headerRow" dxfId="32"/>
      <tableStyleElement type="firstRowStripe" dxfId="31"/>
      <tableStyleElement type="secondRowStripe" dxfId="30"/>
    </tableStyle>
    <tableStyle name="Ejemplo Matriz de Riesgo-style" pivot="0" count="3" xr9:uid="{A9772290-327C-4D7D-9B2B-3B4A67769A7A}">
      <tableStyleElement type="headerRow" dxfId="29"/>
      <tableStyleElement type="firstRowStripe" dxfId="28"/>
      <tableStyleElement type="secondRowStripe" dxfId="27"/>
    </tableStyle>
    <tableStyle name="Instructivo-style" pivot="0" count="3" xr9:uid="{A93B01DA-F6EF-459D-B349-FB77BB8EF565}">
      <tableStyleElement type="headerRow" dxfId="26"/>
      <tableStyleElement type="firstRowStripe" dxfId="25"/>
      <tableStyleElement type="secondRowStripe" dxfId="24"/>
    </tableStyle>
    <tableStyle name="Tabla-style" pivot="0" count="3" xr9:uid="{CE9E74AC-3896-4ADE-8069-E8E8DA6CFB91}">
      <tableStyleElement type="headerRow" dxfId="23"/>
      <tableStyleElement type="firstRowStripe" dxfId="22"/>
      <tableStyleElement type="secondRowStripe" dxfId="21"/>
    </tableStyle>
    <tableStyle name="Tabla-style 2" pivot="0" count="3" xr9:uid="{4090D348-479C-42C5-BCD2-EC59C9521FC1}">
      <tableStyleElement type="headerRow" dxfId="20"/>
      <tableStyleElement type="firstRowStripe" dxfId="19"/>
      <tableStyleElement type="secondRowStripe" dxfId="18"/>
    </tableStyle>
    <tableStyle name="Tabla-style 3" pivot="0" count="3" xr9:uid="{F9B6A5B2-E2AD-4303-89B3-35716CF2FC0B}">
      <tableStyleElement type="headerRow" dxfId="17"/>
      <tableStyleElement type="firstRowStripe" dxfId="16"/>
      <tableStyleElement type="secondRowStripe" dxfId="15"/>
    </tableStyle>
    <tableStyle name="Tabla-style 4" pivot="0" count="3" xr9:uid="{AD2C3D4C-09E7-4D01-A6C1-C36272854708}">
      <tableStyleElement type="headerRow" dxfId="14"/>
      <tableStyleElement type="firstRowStripe" dxfId="13"/>
      <tableStyleElement type="secondRowStripe" dxfId="12"/>
    </tableStyle>
    <tableStyle name="Tabla-style 5" pivot="0" count="3" xr9:uid="{12C8995B-C740-4FA5-9F09-D2435A817E92}">
      <tableStyleElement type="headerRow" dxfId="11"/>
      <tableStyleElement type="firstRowStripe" dxfId="10"/>
      <tableStyleElement type="secondRowStripe" dxfId="9"/>
    </tableStyle>
    <tableStyle name="Tabla-style 6" pivot="0" count="3" xr9:uid="{4C4B78B2-16E4-4C6D-8824-10B6451DBE41}">
      <tableStyleElement type="headerRow" dxfId="8"/>
      <tableStyleElement type="firstRowStripe" dxfId="7"/>
      <tableStyleElement type="secondRowStripe" dxfId="6"/>
    </tableStyle>
    <tableStyle name="Tabla-style 7" pivot="0" count="3" xr9:uid="{84F720CE-7D6F-4F68-97B4-1704C9882CC6}">
      <tableStyleElement type="headerRow" dxfId="5"/>
      <tableStyleElement type="firstRowStripe" dxfId="4"/>
      <tableStyleElement type="secondRowStripe" dxfId="3"/>
    </tableStyle>
    <tableStyle name="Tabla-style 8" pivot="0" count="3" xr9:uid="{20CC6CBF-D7AC-46FB-91D2-FB3B54892700}">
      <tableStyleElement type="headerRow" dxfId="2"/>
      <tableStyleElement type="firstRowStripe" dxfId="1"/>
      <tableStyleElement type="secondRowStripe" dxfId="0"/>
    </tableStyle>
  </tableStyles>
  <colors>
    <mruColors>
      <color rgb="FFFF7E06"/>
      <color rgb="FFA5A5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79786</xdr:colOff>
      <xdr:row>2</xdr:row>
      <xdr:rowOff>193254</xdr:rowOff>
    </xdr:from>
    <xdr:to>
      <xdr:col>20</xdr:col>
      <xdr:colOff>201453</xdr:colOff>
      <xdr:row>5</xdr:row>
      <xdr:rowOff>312084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C7C676B-8EDF-93DC-111B-DF1C5E291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20036" y="1309040"/>
          <a:ext cx="6326524" cy="36022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FDED1-1A1E-44D7-B872-85FF24D4C5DB}">
  <sheetPr>
    <tabColor theme="0"/>
  </sheetPr>
  <dimension ref="A1:X21"/>
  <sheetViews>
    <sheetView showGridLines="0" tabSelected="1" zoomScale="70" zoomScaleNormal="70" workbookViewId="0">
      <pane ySplit="2" topLeftCell="A15" activePane="bottomLeft" state="frozen"/>
      <selection pane="bottomLeft" activeCell="N18" sqref="N18"/>
    </sheetView>
  </sheetViews>
  <sheetFormatPr baseColWidth="10" defaultColWidth="11.5703125" defaultRowHeight="15" x14ac:dyDescent="0.25"/>
  <cols>
    <col min="1" max="1" width="5.5703125" style="2" customWidth="1"/>
    <col min="2" max="2" width="51" style="2" customWidth="1"/>
    <col min="3" max="3" width="22" style="2" customWidth="1"/>
    <col min="4" max="4" width="11.5703125" style="2"/>
    <col min="5" max="5" width="19.85546875" style="2" customWidth="1"/>
    <col min="6" max="6" width="11.7109375" style="2" customWidth="1"/>
    <col min="7" max="7" width="17.85546875" style="2" customWidth="1"/>
    <col min="8" max="8" width="16.28515625" style="2" customWidth="1"/>
    <col min="9" max="9" width="24.7109375" style="2" customWidth="1"/>
    <col min="10" max="10" width="54.7109375" style="2" customWidth="1"/>
    <col min="11" max="16384" width="11.5703125" style="2"/>
  </cols>
  <sheetData>
    <row r="1" spans="1:24" ht="48.75" customHeight="1" thickBot="1" x14ac:dyDescent="0.3">
      <c r="A1" s="33" t="s">
        <v>17</v>
      </c>
      <c r="B1" s="33"/>
      <c r="C1" s="33"/>
      <c r="D1" s="33"/>
      <c r="E1" s="33"/>
      <c r="F1" s="33"/>
      <c r="G1" s="33"/>
      <c r="H1" s="33"/>
      <c r="I1" s="33"/>
      <c r="J1" s="33"/>
      <c r="K1" s="33"/>
    </row>
    <row r="2" spans="1:24" ht="38.25" thickBot="1" x14ac:dyDescent="0.3">
      <c r="A2" s="1" t="s">
        <v>0</v>
      </c>
      <c r="B2" s="1" t="s">
        <v>1</v>
      </c>
      <c r="C2" s="1" t="s">
        <v>3</v>
      </c>
      <c r="D2" s="1" t="s">
        <v>15</v>
      </c>
      <c r="E2" s="1" t="s">
        <v>4</v>
      </c>
      <c r="F2" s="1" t="s">
        <v>2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20</v>
      </c>
      <c r="V2" s="8" t="s">
        <v>3</v>
      </c>
      <c r="W2" s="9" t="s">
        <v>16</v>
      </c>
      <c r="X2" s="10" t="s">
        <v>7</v>
      </c>
    </row>
    <row r="3" spans="1:24" ht="106.5" customHeight="1" x14ac:dyDescent="0.25">
      <c r="A3" s="6">
        <v>1</v>
      </c>
      <c r="B3" s="6" t="s">
        <v>24</v>
      </c>
      <c r="C3" s="6" t="s">
        <v>14</v>
      </c>
      <c r="D3" s="6">
        <v>1</v>
      </c>
      <c r="E3" s="30">
        <v>1</v>
      </c>
      <c r="F3" s="30">
        <v>5</v>
      </c>
      <c r="G3" s="6">
        <f>E3*F3</f>
        <v>5</v>
      </c>
      <c r="H3" s="6">
        <f>G3</f>
        <v>5</v>
      </c>
      <c r="I3" s="6" t="s">
        <v>11</v>
      </c>
      <c r="J3" s="31" t="s">
        <v>40</v>
      </c>
      <c r="K3" s="6" t="s">
        <v>21</v>
      </c>
      <c r="V3" s="11" t="s">
        <v>9</v>
      </c>
      <c r="W3" s="12">
        <v>1</v>
      </c>
      <c r="X3" s="13" t="s">
        <v>11</v>
      </c>
    </row>
    <row r="4" spans="1:24" ht="93" customHeight="1" x14ac:dyDescent="0.25">
      <c r="A4" s="25">
        <v>2</v>
      </c>
      <c r="B4" s="25" t="s">
        <v>57</v>
      </c>
      <c r="C4" s="3" t="s">
        <v>14</v>
      </c>
      <c r="D4" s="25">
        <v>1</v>
      </c>
      <c r="E4" s="27">
        <v>2</v>
      </c>
      <c r="F4" s="27">
        <v>5</v>
      </c>
      <c r="G4" s="27">
        <f t="shared" ref="G4:G5" si="0">E4*F4</f>
        <v>10</v>
      </c>
      <c r="H4" s="25">
        <f t="shared" ref="H4:H5" si="1">G4</f>
        <v>10</v>
      </c>
      <c r="I4" s="25" t="s">
        <v>11</v>
      </c>
      <c r="J4" s="32" t="s">
        <v>41</v>
      </c>
      <c r="K4" s="25" t="s">
        <v>21</v>
      </c>
      <c r="V4" s="14" t="s">
        <v>14</v>
      </c>
      <c r="W4" s="15">
        <v>2</v>
      </c>
      <c r="X4" s="16" t="s">
        <v>12</v>
      </c>
    </row>
    <row r="5" spans="1:24" ht="75" x14ac:dyDescent="0.25">
      <c r="A5" s="6">
        <v>3</v>
      </c>
      <c r="B5" s="29" t="s">
        <v>39</v>
      </c>
      <c r="C5" s="6" t="s">
        <v>14</v>
      </c>
      <c r="D5" s="6">
        <v>1</v>
      </c>
      <c r="E5" s="30">
        <v>3</v>
      </c>
      <c r="F5" s="30">
        <v>5</v>
      </c>
      <c r="G5" s="6">
        <f t="shared" si="0"/>
        <v>15</v>
      </c>
      <c r="H5" s="6">
        <f t="shared" si="1"/>
        <v>15</v>
      </c>
      <c r="I5" s="6" t="s">
        <v>11</v>
      </c>
      <c r="J5" s="31" t="s">
        <v>42</v>
      </c>
      <c r="K5" s="6" t="s">
        <v>21</v>
      </c>
      <c r="V5" s="14"/>
      <c r="W5" s="15">
        <v>3</v>
      </c>
      <c r="X5" s="16" t="s">
        <v>13</v>
      </c>
    </row>
    <row r="6" spans="1:24" ht="131.25" x14ac:dyDescent="0.25">
      <c r="A6" s="25">
        <v>4</v>
      </c>
      <c r="B6" s="26" t="s">
        <v>38</v>
      </c>
      <c r="C6" s="3" t="s">
        <v>14</v>
      </c>
      <c r="D6" s="25">
        <v>1</v>
      </c>
      <c r="E6" s="27">
        <v>3</v>
      </c>
      <c r="F6" s="27">
        <v>4</v>
      </c>
      <c r="G6" s="27">
        <f t="shared" ref="G6:G21" si="2">E6*F6</f>
        <v>12</v>
      </c>
      <c r="H6" s="25">
        <f t="shared" ref="H6:H21" si="3">G6</f>
        <v>12</v>
      </c>
      <c r="I6" s="25" t="s">
        <v>11</v>
      </c>
      <c r="J6" s="28" t="s">
        <v>43</v>
      </c>
      <c r="K6" s="25" t="s">
        <v>21</v>
      </c>
      <c r="V6" s="14"/>
      <c r="W6" s="15">
        <v>4</v>
      </c>
      <c r="X6" s="16" t="s">
        <v>10</v>
      </c>
    </row>
    <row r="7" spans="1:24" ht="75.75" thickBot="1" x14ac:dyDescent="0.3">
      <c r="A7" s="6">
        <v>5</v>
      </c>
      <c r="B7" s="22" t="s">
        <v>37</v>
      </c>
      <c r="C7" s="6" t="s">
        <v>14</v>
      </c>
      <c r="D7" s="5">
        <v>1</v>
      </c>
      <c r="E7" s="7">
        <v>3</v>
      </c>
      <c r="F7" s="7">
        <v>4</v>
      </c>
      <c r="G7" s="7">
        <f t="shared" si="2"/>
        <v>12</v>
      </c>
      <c r="H7" s="5">
        <f t="shared" si="3"/>
        <v>12</v>
      </c>
      <c r="I7" s="5" t="s">
        <v>11</v>
      </c>
      <c r="J7" s="22" t="s">
        <v>44</v>
      </c>
      <c r="K7" s="5" t="s">
        <v>21</v>
      </c>
      <c r="V7" s="17"/>
      <c r="W7" s="18">
        <v>5</v>
      </c>
      <c r="X7" s="19"/>
    </row>
    <row r="8" spans="1:24" ht="75" x14ac:dyDescent="0.25">
      <c r="A8" s="25">
        <v>6</v>
      </c>
      <c r="B8" s="23" t="s">
        <v>36</v>
      </c>
      <c r="C8" s="3" t="s">
        <v>14</v>
      </c>
      <c r="D8" s="3">
        <v>1</v>
      </c>
      <c r="E8" s="4">
        <v>1</v>
      </c>
      <c r="F8" s="4">
        <v>4</v>
      </c>
      <c r="G8" s="3">
        <f t="shared" si="2"/>
        <v>4</v>
      </c>
      <c r="H8" s="3">
        <f t="shared" si="3"/>
        <v>4</v>
      </c>
      <c r="I8" s="3" t="s">
        <v>11</v>
      </c>
      <c r="J8" s="23" t="s">
        <v>45</v>
      </c>
      <c r="K8" s="3" t="s">
        <v>21</v>
      </c>
    </row>
    <row r="9" spans="1:24" ht="111" customHeight="1" x14ac:dyDescent="0.25">
      <c r="A9" s="6">
        <v>7</v>
      </c>
      <c r="B9" s="22" t="s">
        <v>18</v>
      </c>
      <c r="C9" s="6" t="s">
        <v>14</v>
      </c>
      <c r="D9" s="5">
        <v>1</v>
      </c>
      <c r="E9" s="7">
        <v>2</v>
      </c>
      <c r="F9" s="7">
        <v>5</v>
      </c>
      <c r="G9" s="7">
        <f t="shared" si="2"/>
        <v>10</v>
      </c>
      <c r="H9" s="5">
        <f t="shared" si="3"/>
        <v>10</v>
      </c>
      <c r="I9" s="5" t="s">
        <v>11</v>
      </c>
      <c r="J9" s="22" t="s">
        <v>19</v>
      </c>
      <c r="K9" s="5" t="s">
        <v>21</v>
      </c>
    </row>
    <row r="10" spans="1:24" ht="190.5" customHeight="1" x14ac:dyDescent="0.25">
      <c r="A10" s="25">
        <v>8</v>
      </c>
      <c r="B10" s="21" t="s">
        <v>35</v>
      </c>
      <c r="C10" s="3" t="s">
        <v>14</v>
      </c>
      <c r="D10" s="3">
        <v>1</v>
      </c>
      <c r="E10" s="4">
        <v>2</v>
      </c>
      <c r="F10" s="4">
        <v>3</v>
      </c>
      <c r="G10" s="3">
        <f t="shared" si="2"/>
        <v>6</v>
      </c>
      <c r="H10" s="3">
        <f t="shared" si="3"/>
        <v>6</v>
      </c>
      <c r="I10" s="3" t="s">
        <v>11</v>
      </c>
      <c r="J10" s="24" t="s">
        <v>46</v>
      </c>
      <c r="K10" s="3" t="s">
        <v>21</v>
      </c>
    </row>
    <row r="11" spans="1:24" ht="112.5" x14ac:dyDescent="0.25">
      <c r="A11" s="6">
        <v>9</v>
      </c>
      <c r="B11" s="22" t="s">
        <v>23</v>
      </c>
      <c r="C11" s="6" t="s">
        <v>14</v>
      </c>
      <c r="D11" s="5">
        <v>1</v>
      </c>
      <c r="E11" s="7">
        <v>2</v>
      </c>
      <c r="F11" s="7">
        <v>5</v>
      </c>
      <c r="G11" s="7">
        <f t="shared" si="2"/>
        <v>10</v>
      </c>
      <c r="H11" s="5">
        <f t="shared" si="3"/>
        <v>10</v>
      </c>
      <c r="I11" s="5" t="s">
        <v>12</v>
      </c>
      <c r="J11" s="22" t="s">
        <v>22</v>
      </c>
      <c r="K11" s="5" t="s">
        <v>21</v>
      </c>
    </row>
    <row r="12" spans="1:24" ht="114.75" customHeight="1" x14ac:dyDescent="0.25">
      <c r="A12" s="25">
        <v>10</v>
      </c>
      <c r="B12" s="21" t="s">
        <v>34</v>
      </c>
      <c r="C12" s="3" t="s">
        <v>14</v>
      </c>
      <c r="D12" s="3">
        <v>1</v>
      </c>
      <c r="E12" s="4">
        <v>3</v>
      </c>
      <c r="F12" s="4">
        <v>5</v>
      </c>
      <c r="G12" s="3">
        <f t="shared" si="2"/>
        <v>15</v>
      </c>
      <c r="H12" s="3">
        <f t="shared" si="3"/>
        <v>15</v>
      </c>
      <c r="I12" s="3" t="s">
        <v>12</v>
      </c>
      <c r="J12" s="21" t="s">
        <v>47</v>
      </c>
      <c r="K12" s="3" t="s">
        <v>21</v>
      </c>
    </row>
    <row r="13" spans="1:24" ht="137.25" customHeight="1" x14ac:dyDescent="0.25">
      <c r="A13" s="6">
        <v>11</v>
      </c>
      <c r="B13" s="20" t="s">
        <v>33</v>
      </c>
      <c r="C13" s="6" t="s">
        <v>14</v>
      </c>
      <c r="D13" s="5">
        <v>1</v>
      </c>
      <c r="E13" s="7">
        <v>1</v>
      </c>
      <c r="F13" s="7">
        <v>5</v>
      </c>
      <c r="G13" s="7">
        <f t="shared" si="2"/>
        <v>5</v>
      </c>
      <c r="H13" s="5">
        <f t="shared" si="3"/>
        <v>5</v>
      </c>
      <c r="I13" s="5" t="s">
        <v>11</v>
      </c>
      <c r="J13" s="20" t="s">
        <v>48</v>
      </c>
      <c r="K13" s="5" t="s">
        <v>21</v>
      </c>
    </row>
    <row r="14" spans="1:24" ht="75" x14ac:dyDescent="0.25">
      <c r="A14" s="25">
        <v>12</v>
      </c>
      <c r="B14" s="21" t="s">
        <v>32</v>
      </c>
      <c r="C14" s="3" t="s">
        <v>14</v>
      </c>
      <c r="D14" s="3">
        <v>1</v>
      </c>
      <c r="E14" s="4">
        <v>1</v>
      </c>
      <c r="F14" s="4">
        <v>3</v>
      </c>
      <c r="G14" s="3">
        <f t="shared" si="2"/>
        <v>3</v>
      </c>
      <c r="H14" s="3">
        <f t="shared" si="3"/>
        <v>3</v>
      </c>
      <c r="I14" s="3" t="s">
        <v>11</v>
      </c>
      <c r="J14" s="21" t="s">
        <v>49</v>
      </c>
      <c r="K14" s="3" t="s">
        <v>21</v>
      </c>
    </row>
    <row r="15" spans="1:24" ht="93.75" x14ac:dyDescent="0.25">
      <c r="A15" s="6">
        <v>13</v>
      </c>
      <c r="B15" s="20" t="s">
        <v>31</v>
      </c>
      <c r="C15" s="6" t="s">
        <v>14</v>
      </c>
      <c r="D15" s="5">
        <v>1</v>
      </c>
      <c r="E15" s="7">
        <v>1</v>
      </c>
      <c r="F15" s="7">
        <v>3</v>
      </c>
      <c r="G15" s="7">
        <f t="shared" si="2"/>
        <v>3</v>
      </c>
      <c r="H15" s="5">
        <f t="shared" si="3"/>
        <v>3</v>
      </c>
      <c r="I15" s="5" t="s">
        <v>11</v>
      </c>
      <c r="J15" s="20" t="s">
        <v>50</v>
      </c>
      <c r="K15" s="5" t="s">
        <v>21</v>
      </c>
    </row>
    <row r="16" spans="1:24" ht="75" x14ac:dyDescent="0.25">
      <c r="A16" s="25">
        <v>14</v>
      </c>
      <c r="B16" s="21" t="s">
        <v>30</v>
      </c>
      <c r="C16" s="3" t="s">
        <v>14</v>
      </c>
      <c r="D16" s="3">
        <v>1</v>
      </c>
      <c r="E16" s="4">
        <v>2</v>
      </c>
      <c r="F16" s="4">
        <v>3</v>
      </c>
      <c r="G16" s="3">
        <f t="shared" si="2"/>
        <v>6</v>
      </c>
      <c r="H16" s="3">
        <f t="shared" si="3"/>
        <v>6</v>
      </c>
      <c r="I16" s="3" t="s">
        <v>11</v>
      </c>
      <c r="J16" s="21" t="s">
        <v>51</v>
      </c>
      <c r="K16" s="3" t="s">
        <v>21</v>
      </c>
    </row>
    <row r="17" spans="1:11" ht="133.5" customHeight="1" x14ac:dyDescent="0.25">
      <c r="A17" s="6">
        <v>15</v>
      </c>
      <c r="B17" s="20" t="s">
        <v>29</v>
      </c>
      <c r="C17" s="6" t="s">
        <v>9</v>
      </c>
      <c r="D17" s="5">
        <v>1</v>
      </c>
      <c r="E17" s="7">
        <v>2</v>
      </c>
      <c r="F17" s="7">
        <v>2</v>
      </c>
      <c r="G17" s="7">
        <f t="shared" si="2"/>
        <v>4</v>
      </c>
      <c r="H17" s="5">
        <f t="shared" si="3"/>
        <v>4</v>
      </c>
      <c r="I17" s="5" t="s">
        <v>11</v>
      </c>
      <c r="J17" s="20" t="s">
        <v>52</v>
      </c>
      <c r="K17" s="5" t="s">
        <v>21</v>
      </c>
    </row>
    <row r="18" spans="1:11" ht="112.5" x14ac:dyDescent="0.25">
      <c r="A18" s="25">
        <v>16</v>
      </c>
      <c r="B18" s="21" t="s">
        <v>28</v>
      </c>
      <c r="C18" s="3" t="s">
        <v>9</v>
      </c>
      <c r="D18" s="3">
        <v>1</v>
      </c>
      <c r="E18" s="4">
        <v>2</v>
      </c>
      <c r="F18" s="4">
        <v>5</v>
      </c>
      <c r="G18" s="3">
        <f t="shared" si="2"/>
        <v>10</v>
      </c>
      <c r="H18" s="3">
        <f t="shared" si="3"/>
        <v>10</v>
      </c>
      <c r="I18" s="3" t="s">
        <v>11</v>
      </c>
      <c r="J18" s="21" t="s">
        <v>53</v>
      </c>
      <c r="K18" s="3" t="s">
        <v>21</v>
      </c>
    </row>
    <row r="19" spans="1:11" ht="75" x14ac:dyDescent="0.25">
      <c r="A19" s="6">
        <v>17</v>
      </c>
      <c r="B19" s="20" t="s">
        <v>27</v>
      </c>
      <c r="C19" s="6" t="s">
        <v>9</v>
      </c>
      <c r="D19" s="5">
        <v>1</v>
      </c>
      <c r="E19" s="7">
        <v>3</v>
      </c>
      <c r="F19" s="7">
        <v>5</v>
      </c>
      <c r="G19" s="7">
        <f t="shared" si="2"/>
        <v>15</v>
      </c>
      <c r="H19" s="5">
        <f t="shared" si="3"/>
        <v>15</v>
      </c>
      <c r="I19" s="5" t="s">
        <v>11</v>
      </c>
      <c r="J19" s="20" t="s">
        <v>54</v>
      </c>
      <c r="K19" s="5" t="s">
        <v>21</v>
      </c>
    </row>
    <row r="20" spans="1:11" ht="75" x14ac:dyDescent="0.25">
      <c r="A20" s="25">
        <v>18</v>
      </c>
      <c r="B20" s="21" t="s">
        <v>26</v>
      </c>
      <c r="C20" s="3" t="s">
        <v>9</v>
      </c>
      <c r="D20" s="3">
        <v>1</v>
      </c>
      <c r="E20" s="4">
        <v>3</v>
      </c>
      <c r="F20" s="4">
        <v>4</v>
      </c>
      <c r="G20" s="3">
        <f t="shared" si="2"/>
        <v>12</v>
      </c>
      <c r="H20" s="3">
        <f t="shared" si="3"/>
        <v>12</v>
      </c>
      <c r="I20" s="3" t="s">
        <v>12</v>
      </c>
      <c r="J20" s="21" t="s">
        <v>55</v>
      </c>
      <c r="K20" s="3" t="s">
        <v>21</v>
      </c>
    </row>
    <row r="21" spans="1:11" ht="84.75" customHeight="1" x14ac:dyDescent="0.25">
      <c r="A21" s="6">
        <v>19</v>
      </c>
      <c r="B21" s="20" t="s">
        <v>25</v>
      </c>
      <c r="C21" s="6" t="s">
        <v>9</v>
      </c>
      <c r="D21" s="5">
        <v>1</v>
      </c>
      <c r="E21" s="7">
        <v>2</v>
      </c>
      <c r="F21" s="7">
        <v>3</v>
      </c>
      <c r="G21" s="7">
        <f t="shared" si="2"/>
        <v>6</v>
      </c>
      <c r="H21" s="5">
        <f t="shared" si="3"/>
        <v>6</v>
      </c>
      <c r="I21" s="5" t="s">
        <v>11</v>
      </c>
      <c r="J21" s="20" t="s">
        <v>56</v>
      </c>
      <c r="K21" s="5" t="s">
        <v>21</v>
      </c>
    </row>
  </sheetData>
  <mergeCells count="1">
    <mergeCell ref="A1:K1"/>
  </mergeCells>
  <conditionalFormatting sqref="H3:H21">
    <cfRule type="iconSet" priority="3">
      <iconSet iconSet="3Symbols" showValue="0" reverse="1">
        <cfvo type="percent" val="0"/>
        <cfvo type="num" val="4"/>
        <cfvo type="num" val="12"/>
      </iconSet>
    </cfRule>
  </conditionalFormatting>
  <dataValidations count="3">
    <dataValidation type="list" allowBlank="1" showInputMessage="1" showErrorMessage="1" sqref="C3:C21" xr:uid="{9E3BB9DB-7B29-481D-B61E-D6FF8F2E89E6}">
      <formula1>Tipo</formula1>
    </dataValidation>
    <dataValidation type="list" allowBlank="1" showInputMessage="1" showErrorMessage="1" sqref="E3:F21" xr:uid="{8532C361-090D-44A3-9B9A-0226D51640E6}">
      <formula1>Numero</formula1>
    </dataValidation>
    <dataValidation type="list" allowBlank="1" showInputMessage="1" showErrorMessage="1" sqref="I3:I21" xr:uid="{4E64329E-3385-4E08-9327-DBF537FE27A0}">
      <formula1>Accion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Matriz de Riesgo</vt:lpstr>
      <vt:lpstr>Accion</vt:lpstr>
      <vt:lpstr>Numero</vt:lpstr>
      <vt:lpstr>Tipo</vt:lpstr>
      <vt:lpstr>Tipos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Miguel-PC</dc:creator>
  <cp:lastModifiedBy>Miguel-PC</cp:lastModifiedBy>
  <dcterms:created xsi:type="dcterms:W3CDTF">2023-02-27T14:28:38Z</dcterms:created>
  <dcterms:modified xsi:type="dcterms:W3CDTF">2023-04-28T04:20:30Z</dcterms:modified>
</cp:coreProperties>
</file>